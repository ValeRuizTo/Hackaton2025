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OneDrive\Documentos\"/>
    </mc:Choice>
  </mc:AlternateContent>
  <xr:revisionPtr revIDLastSave="0" documentId="8_{AE8C0B49-BB49-4F69-8009-51FA3B92B05B}" xr6:coauthVersionLast="47" xr6:coauthVersionMax="47" xr10:uidLastSave="{00000000-0000-0000-0000-000000000000}"/>
  <bookViews>
    <workbookView xWindow="-110" yWindow="-110" windowWidth="19420" windowHeight="10300" activeTab="1" xr2:uid="{D50749F0-EB28-480E-83AB-D2AE4523483B}"/>
  </bookViews>
  <sheets>
    <sheet name="Proyecto" sheetId="1" r:id="rId1"/>
    <sheet name="Fase 1" sheetId="2" r:id="rId2"/>
    <sheet name="Fase 2" sheetId="4" r:id="rId3"/>
    <sheet name="Fase intermedi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4" l="1"/>
  <c r="D13" i="4"/>
  <c r="D12" i="4"/>
  <c r="D11" i="4"/>
  <c r="D10" i="4"/>
  <c r="B8" i="4"/>
  <c r="D8" i="4" s="1"/>
  <c r="B6" i="4" l="1"/>
  <c r="B7" i="4" s="1"/>
  <c r="D7" i="4" s="1"/>
  <c r="B5" i="4"/>
  <c r="D5" i="4" s="1"/>
  <c r="D4" i="4"/>
  <c r="D3" i="4"/>
  <c r="B17" i="2"/>
  <c r="B16" i="2"/>
  <c r="B13" i="2"/>
  <c r="B12" i="2"/>
  <c r="B3" i="2"/>
  <c r="D6" i="4" l="1"/>
  <c r="D14" i="4" s="1"/>
  <c r="B18" i="2"/>
  <c r="B20" i="2" s="1"/>
  <c r="D15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Diego Moreno Sánchez</author>
  </authors>
  <commentList>
    <comment ref="C5" authorId="0" shapeId="0" xr:uid="{75F56434-DF7F-4FDD-8DDB-AD78AB2EE979}">
      <text>
        <r>
          <rPr>
            <sz val="9"/>
            <color indexed="81"/>
            <rFont val="Tahoma"/>
            <family val="2"/>
          </rPr>
          <t>Representa una persona de la familia.</t>
        </r>
      </text>
    </comment>
  </commentList>
</comments>
</file>

<file path=xl/sharedStrings.xml><?xml version="1.0" encoding="utf-8"?>
<sst xmlns="http://schemas.openxmlformats.org/spreadsheetml/2006/main" count="89" uniqueCount="62">
  <si>
    <t>Propuestas de financimiento del proyecto</t>
  </si>
  <si>
    <t>Mantenimiento del sistema</t>
  </si>
  <si>
    <t>Capacitaciones</t>
  </si>
  <si>
    <t>Metodos de trasmisición de emergencias</t>
  </si>
  <si>
    <t>Plan medioambiental</t>
  </si>
  <si>
    <t xml:space="preserve">Herramientas </t>
  </si>
  <si>
    <t>Para poder hacer una medición del comportamiento climatico es necesario la adquisición de herramientas propias de una estación metereologica.</t>
  </si>
  <si>
    <t>Para asegurar la prevención efectiva de las inundaciones es necesario la implemetación de tecnologías tradiccionales para trasmitir los mensajes de emergencia.</t>
  </si>
  <si>
    <t>Para la implementación de las diferentes dimensiones del proyecto es necesario formular capacitaciones para que las poblaciones usen de manera correcta la herramientras propuestas.</t>
  </si>
  <si>
    <t>El proyecto propone un pagina web donde un usuario con internet y acceso a equipos de medición.</t>
  </si>
  <si>
    <t>Para asegurar la disminución de futuros riesgos es necesaria la implementación de soluciones a largo plazo como las NBS_FRM(Natural Base Solution Flood risk manager)</t>
  </si>
  <si>
    <t>Pluviómetro</t>
  </si>
  <si>
    <t>Costos</t>
  </si>
  <si>
    <t>Anemómetro + veleta</t>
  </si>
  <si>
    <t>Herramienta</t>
  </si>
  <si>
    <t>Registrador de datos + modem 4G</t>
  </si>
  <si>
    <t>link</t>
  </si>
  <si>
    <t>Link de compra</t>
  </si>
  <si>
    <t>Total</t>
  </si>
  <si>
    <t>Caja protectora para registrador y Caja protectora para registrador y batería</t>
  </si>
  <si>
    <t>Funcionamiento de pagina web</t>
  </si>
  <si>
    <t>Api</t>
  </si>
  <si>
    <t>Costo mensual mensual</t>
  </si>
  <si>
    <t>Fase 1</t>
  </si>
  <si>
    <t>Fase 2</t>
  </si>
  <si>
    <t>Fase intermedia</t>
  </si>
  <si>
    <t>Panel solar</t>
  </si>
  <si>
    <t>Capacitación</t>
  </si>
  <si>
    <t>Mano de obra</t>
  </si>
  <si>
    <t>(estimado)</t>
  </si>
  <si>
    <t>Higrómetro</t>
  </si>
  <si>
    <t>Repuestos</t>
  </si>
  <si>
    <t>Trasporte</t>
  </si>
  <si>
    <t>Suma de la fase 1</t>
  </si>
  <si>
    <t>Servidores (costo anual)</t>
  </si>
  <si>
    <t>Utensilios Necesarios Para La estación meteorológica del tipo pluviométrica-anemométrica (mixta) Fase 2</t>
  </si>
  <si>
    <t>Fase 2 metodos de trasmisición de emergencias y capacitación</t>
  </si>
  <si>
    <t>Radios</t>
  </si>
  <si>
    <t>Repetidor central</t>
  </si>
  <si>
    <t xml:space="preserve">Capacitación del uso </t>
  </si>
  <si>
    <t>Unidades(familias)</t>
  </si>
  <si>
    <t>Costo final</t>
  </si>
  <si>
    <t>Mano de obra (SMMLV)</t>
  </si>
  <si>
    <t>Prestaciones laborales</t>
  </si>
  <si>
    <t>Costo por individuos</t>
  </si>
  <si>
    <t>Estudio Cartografico</t>
  </si>
  <si>
    <t>Fuente estabilizada + UPS</t>
  </si>
  <si>
    <t>Repetidor digital VHF/UHF 50 W</t>
  </si>
  <si>
    <t>Dúplexer / cavidades</t>
  </si>
  <si>
    <t>Mástil/torre 15–18 m + obra civil</t>
  </si>
  <si>
    <t>Protección y tierra</t>
  </si>
  <si>
    <t xml:space="preserve">link  </t>
  </si>
  <si>
    <t>Logistica y trasporte</t>
  </si>
  <si>
    <t>Herramientas fase 1</t>
  </si>
  <si>
    <t>Servicios Web Fase 1</t>
  </si>
  <si>
    <t>Radio</t>
  </si>
  <si>
    <t>Solución intermedia</t>
  </si>
  <si>
    <t xml:space="preserve">Planteamos un plan integral para la veréda La Esmeralda que una un repetidor de radios (alerta temprana y coordinacion) con restauración ribereña y resilencia comunitaria. En articulacion con la CAR (POMCA, permísos y apoyo técnico), pondremos sensores basicos —pluviometro y nivel de la quebrada— conectados al sistema de radios con protocólos verde-amarillo-rojo. A la par, haremos mingas de siembra con la comunidad indigena y las familias mas afectadas, usando especies nativas y bioingenieria en puntos criticos. El plan incluye capacitacion, adopción de tramos y mantenimeinto por 24 meses. Con indicadores simples (tramos restaurados, alertas y tiempos de respuesta) mostraremos avances. Meta: menos inundaciones, mejor coordinacion y un tejído social mas fuerte.                                                                                                                                                              </t>
  </si>
  <si>
    <t>Observación</t>
  </si>
  <si>
    <t>Podemos observar cual es el costo de implementación de un plan de mitigación que en el ideal el periodos posteriores deberia realizarse por los gremios mineros</t>
  </si>
  <si>
    <t>Observacíon</t>
  </si>
  <si>
    <t>Este es el costo de implementar una estación meteorológica con capacidad para capturar los patrones climáticos que puedan afectar futuras posibles inundaciones en la vereda La Esmeralda, ayudando así a la población con un sistema de control del riesgo frente a desastres.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</si>
</sst>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}"/>
    </font>
    <font>
      <u/>
      <sz val="11"/>
      <color theme="10"/>
      <name val="Aptos Narrow"/>
      <family val="2"/>
      <scheme val="minor"/>
    </font>
    <font>
      <sz val="11"/>
      <color theme="1"/>
      <name val="Times New Roman"/>
      <family val="1"/>
    </font>
    <font>
      <sz val="11"/>
      <color theme="4"/>
      <name val="Times New Roman"/>
      <family val="1"/>
    </font>
    <font>
      <sz val="9"/>
      <color indexed="81"/>
      <name val="Tahoma"/>
      <family val="2"/>
    </font>
    <font>
      <u/>
      <sz val="11"/>
      <color theme="10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11" xfId="2" applyBorder="1" applyAlignment="1">
      <alignment horizontal="center"/>
    </xf>
    <xf numFmtId="0" fontId="3" fillId="0" borderId="9" xfId="2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44" fontId="4" fillId="0" borderId="0" xfId="1" applyFont="1"/>
    <xf numFmtId="44" fontId="3" fillId="0" borderId="0" xfId="2" applyNumberFormat="1"/>
    <xf numFmtId="44" fontId="4" fillId="0" borderId="0" xfId="0" applyNumberFormat="1" applyFont="1"/>
    <xf numFmtId="0" fontId="0" fillId="0" borderId="0" xfId="0" applyAlignment="1">
      <alignment wrapText="1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4" fontId="5" fillId="0" borderId="0" xfId="0" applyNumberFormat="1" applyFont="1"/>
    <xf numFmtId="0" fontId="4" fillId="0" borderId="0" xfId="1" applyNumberFormat="1" applyFont="1"/>
    <xf numFmtId="0" fontId="4" fillId="0" borderId="0" xfId="0" applyNumberFormat="1" applyFont="1"/>
    <xf numFmtId="44" fontId="7" fillId="0" borderId="0" xfId="2" applyNumberFormat="1" applyFont="1"/>
    <xf numFmtId="0" fontId="4" fillId="0" borderId="0" xfId="0" applyFont="1" applyAlignment="1">
      <alignment wrapText="1"/>
    </xf>
    <xf numFmtId="0" fontId="3" fillId="0" borderId="0" xfId="2"/>
    <xf numFmtId="0" fontId="3" fillId="0" borderId="10" xfId="2" applyBorder="1" applyAlignment="1">
      <alignment horizontal="center"/>
    </xf>
    <xf numFmtId="0" fontId="4" fillId="0" borderId="1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8" fillId="0" borderId="0" xfId="0" applyFont="1" applyAlignment="1">
      <alignment horizontal="center"/>
    </xf>
    <xf numFmtId="44" fontId="5" fillId="0" borderId="0" xfId="1" applyFont="1"/>
    <xf numFmtId="0" fontId="8" fillId="0" borderId="0" xfId="0" applyFont="1"/>
    <xf numFmtId="0" fontId="8" fillId="0" borderId="1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44" fontId="8" fillId="0" borderId="0" xfId="1" applyFont="1"/>
    <xf numFmtId="0" fontId="4" fillId="0" borderId="0" xfId="0" applyFont="1" applyAlignment="1">
      <alignment horizontal="center" vertical="top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cientificsales.com/products/vaisala-hmw82-humidity-and-temperature-transmitter-wall-mount-4-20ma?variant=42284838191140&amp;country=AO&amp;currency=USD" TargetMode="External"/><Relationship Id="rId3" Type="http://schemas.openxmlformats.org/officeDocument/2006/relationships/hyperlink" Target="https://www.scaledinstruments.com/shop/onset/data-logger/onset-u30-nrc-000-10-s100-000-hobo-u30-usb-weather-station/" TargetMode="External"/><Relationship Id="rId7" Type="http://schemas.openxmlformats.org/officeDocument/2006/relationships/hyperlink" Target="https://autosolar.co/kits-solares-aislada/kit-solar-600w-12v-2135whdia" TargetMode="External"/><Relationship Id="rId2" Type="http://schemas.openxmlformats.org/officeDocument/2006/relationships/hyperlink" Target="https://www.ato.com/ultrasonic-anemometer-40-m-s" TargetMode="External"/><Relationship Id="rId1" Type="http://schemas.openxmlformats.org/officeDocument/2006/relationships/hyperlink" Target="https://www.scaledinstruments.com/shop/rm-young/precipitation-and-pressure/tipping-bucket-rain-gauge/rm-young-52203-20-tipping-bucket-rain-gauge-stainless-steel-housing-unheated/" TargetMode="External"/><Relationship Id="rId6" Type="http://schemas.openxmlformats.org/officeDocument/2006/relationships/hyperlink" Target="https://open-meteo.com/en/pricing" TargetMode="External"/><Relationship Id="rId5" Type="http://schemas.openxmlformats.org/officeDocument/2006/relationships/hyperlink" Target="https://www.hostinger.com/co/precios" TargetMode="External"/><Relationship Id="rId4" Type="http://schemas.openxmlformats.org/officeDocument/2006/relationships/hyperlink" Target="https://www.shopblt.com/item/altronix-enclosure-17.375-x-12-6.5/017a_wp2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visench.en.made-in-china.com/product/cTHRSVoKXakI/China-Vertiv-Gxt5-5000va-6kVA-8kVA-10kVA-16kVA-20kVA-220V-Rack-Tower-Pure-Sine-Wave-Single-Phase-Online-UPS-for-Data-Rooms-Hospitals-Equipment.html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www.ato.com/ultrasonic-anemometer-40-m-s" TargetMode="External"/><Relationship Id="rId1" Type="http://schemas.openxmlformats.org/officeDocument/2006/relationships/hyperlink" Target="https://www.scaledinstruments.com/shop/rm-young/precipitation-and-pressure/tipping-bucket-rain-gauge/rm-young-52203-20-tipping-bucket-rain-gauge-stainless-steel-housing-unheated/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https://www.ebay.com/itm/116049260632?chn=ps&amp;google_free_listing_action=view_item" TargetMode="External"/><Relationship Id="rId4" Type="http://schemas.openxmlformats.org/officeDocument/2006/relationships/hyperlink" Target="https://qualityandprice.co/products/repetidor-hytera-digital-hr1066-50w?variant=48596889338162&amp;country=CO&#164;cy=C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87A05-09DE-4376-9902-117A22CFBE58}">
  <dimension ref="A1:Q12"/>
  <sheetViews>
    <sheetView zoomScale="65" workbookViewId="0">
      <selection activeCell="Q7" sqref="Q7:Q8"/>
    </sheetView>
  </sheetViews>
  <sheetFormatPr baseColWidth="10" defaultRowHeight="14"/>
  <cols>
    <col min="1" max="1" width="10.90625" style="1"/>
    <col min="2" max="2" width="26.1796875" style="1" customWidth="1"/>
    <col min="3" max="3" width="14.453125" style="1" customWidth="1"/>
    <col min="4" max="4" width="10.90625" style="1"/>
    <col min="5" max="5" width="11.26953125" style="1" customWidth="1"/>
    <col min="6" max="6" width="11.7265625" style="1" customWidth="1"/>
    <col min="7" max="12" width="10.90625" style="1"/>
    <col min="13" max="13" width="11.81640625" style="1" customWidth="1"/>
    <col min="14" max="14" width="12.7265625" style="1" customWidth="1"/>
    <col min="15" max="15" width="11.26953125" style="1" customWidth="1"/>
    <col min="16" max="16" width="11.81640625" style="1" customWidth="1"/>
    <col min="17" max="17" width="23.7265625" style="1" customWidth="1"/>
    <col min="18" max="16384" width="10.90625" style="1"/>
  </cols>
  <sheetData>
    <row r="1" spans="1:17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4"/>
    </row>
    <row r="2" spans="1:1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7"/>
    </row>
    <row r="3" spans="1:17" ht="14.5" customHeight="1">
      <c r="A3" s="5" t="s">
        <v>5</v>
      </c>
      <c r="B3" s="6"/>
      <c r="C3" s="10" t="s">
        <v>23</v>
      </c>
      <c r="D3" s="5" t="s">
        <v>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Q3" s="11" t="s">
        <v>53</v>
      </c>
    </row>
    <row r="4" spans="1:17">
      <c r="A4" s="2"/>
      <c r="B4" s="4"/>
      <c r="C4" s="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4"/>
      <c r="Q4" s="12"/>
    </row>
    <row r="5" spans="1:17" ht="14.5" customHeight="1">
      <c r="A5" s="2" t="s">
        <v>1</v>
      </c>
      <c r="B5" s="4"/>
      <c r="C5" s="8" t="s">
        <v>23</v>
      </c>
      <c r="D5" s="2" t="s">
        <v>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4"/>
      <c r="Q5" s="12" t="s">
        <v>54</v>
      </c>
    </row>
    <row r="6" spans="1:17">
      <c r="A6" s="2"/>
      <c r="B6" s="4"/>
      <c r="C6" s="8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4"/>
      <c r="Q6" s="12"/>
    </row>
    <row r="7" spans="1:17" ht="14.5" customHeight="1">
      <c r="A7" s="2" t="s">
        <v>4</v>
      </c>
      <c r="B7" s="2"/>
      <c r="C7" s="8" t="s">
        <v>25</v>
      </c>
      <c r="D7" s="2" t="s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12" t="s">
        <v>25</v>
      </c>
    </row>
    <row r="8" spans="1:17">
      <c r="A8" s="2"/>
      <c r="B8" s="2"/>
      <c r="C8" s="8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12"/>
    </row>
    <row r="9" spans="1:17" ht="14.5" customHeight="1">
      <c r="A9" s="2" t="s">
        <v>2</v>
      </c>
      <c r="B9" s="4"/>
      <c r="C9" s="8" t="s">
        <v>24</v>
      </c>
      <c r="D9" s="2" t="s">
        <v>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4"/>
      <c r="Q9" s="12" t="s">
        <v>27</v>
      </c>
    </row>
    <row r="10" spans="1:17">
      <c r="A10" s="2"/>
      <c r="B10" s="4"/>
      <c r="C10" s="8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4"/>
      <c r="Q10" s="12"/>
    </row>
    <row r="11" spans="1:17" ht="14.5" customHeight="1">
      <c r="A11" s="2" t="s">
        <v>3</v>
      </c>
      <c r="B11" s="4"/>
      <c r="C11" s="8" t="s">
        <v>24</v>
      </c>
      <c r="D11" s="19" t="s">
        <v>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4"/>
      <c r="Q11" s="12" t="s">
        <v>55</v>
      </c>
    </row>
    <row r="12" spans="1:17">
      <c r="A12" s="3"/>
      <c r="B12" s="7"/>
      <c r="C12" s="9"/>
      <c r="D12" s="20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7"/>
      <c r="Q12" s="27"/>
    </row>
  </sheetData>
  <mergeCells count="21">
    <mergeCell ref="A7:B8"/>
    <mergeCell ref="C7:C8"/>
    <mergeCell ref="D7:P8"/>
    <mergeCell ref="Q7:Q8"/>
    <mergeCell ref="A1:P2"/>
    <mergeCell ref="D3:P4"/>
    <mergeCell ref="D5:P6"/>
    <mergeCell ref="D9:P10"/>
    <mergeCell ref="D11:P12"/>
    <mergeCell ref="C3:C4"/>
    <mergeCell ref="C5:C6"/>
    <mergeCell ref="C9:C10"/>
    <mergeCell ref="Q3:Q4"/>
    <mergeCell ref="Q5:Q6"/>
    <mergeCell ref="Q9:Q10"/>
    <mergeCell ref="Q11:Q12"/>
    <mergeCell ref="C11:C12"/>
    <mergeCell ref="A11:B12"/>
    <mergeCell ref="A3:B4"/>
    <mergeCell ref="A9:B10"/>
    <mergeCell ref="A5:B6"/>
  </mergeCells>
  <hyperlinks>
    <hyperlink ref="Q3:Q4" location="'Fase 1'!A1" display="Herramientas fase 1" xr:uid="{6BD7AB48-EFDD-4A18-870B-641FCED4DB69}"/>
    <hyperlink ref="Q5:Q6" location="'Fase 1'!A14" display="Servicios Web Fase 1" xr:uid="{563B9608-59E7-47FF-9690-D7B637CC7226}"/>
    <hyperlink ref="Q11:Q12" location="'Fase 2'!A1" display="Radio" xr:uid="{2A74D053-1C63-4D3F-A1A7-AC6906E1A42B}"/>
    <hyperlink ref="Q9:Q10" location="'Fase 2'!A5" display="Capacitación" xr:uid="{157AAF5A-19F2-44B1-A315-A38DB84D0836}"/>
    <hyperlink ref="Q7:Q8" location="'Fase intermedia'!A1" display="Fase intermedia" xr:uid="{708D07DA-5E32-42C5-A966-CC464055BD99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DC28-2659-4096-903F-EDF7AC12C265}">
  <dimension ref="A1:J20"/>
  <sheetViews>
    <sheetView tabSelected="1" workbookViewId="0">
      <selection activeCell="E3" sqref="E3:J13"/>
    </sheetView>
  </sheetViews>
  <sheetFormatPr baseColWidth="10" defaultRowHeight="14"/>
  <cols>
    <col min="1" max="1" width="64" style="13" customWidth="1"/>
    <col min="2" max="2" width="19.81640625" style="13" bestFit="1" customWidth="1"/>
    <col min="3" max="3" width="13.26953125" style="13" customWidth="1"/>
    <col min="4" max="16384" width="10.90625" style="13"/>
  </cols>
  <sheetData>
    <row r="1" spans="1:10">
      <c r="A1" s="37" t="s">
        <v>35</v>
      </c>
      <c r="B1" s="37"/>
      <c r="C1" s="37"/>
      <c r="D1" s="37"/>
      <c r="E1" s="37"/>
      <c r="F1" s="37"/>
      <c r="G1" s="37"/>
      <c r="H1" s="37"/>
    </row>
    <row r="2" spans="1:10">
      <c r="A2" s="13" t="s">
        <v>14</v>
      </c>
      <c r="B2" s="13" t="s">
        <v>12</v>
      </c>
      <c r="C2" s="13" t="s">
        <v>17</v>
      </c>
      <c r="E2" s="39" t="s">
        <v>60</v>
      </c>
    </row>
    <row r="3" spans="1:10" ht="14.5">
      <c r="A3" t="s">
        <v>11</v>
      </c>
      <c r="B3" s="15">
        <f>2304100</f>
        <v>2304100</v>
      </c>
      <c r="C3" s="16" t="s">
        <v>16</v>
      </c>
      <c r="E3" s="44" t="s">
        <v>61</v>
      </c>
      <c r="F3" s="44"/>
      <c r="G3" s="44"/>
      <c r="H3" s="44"/>
      <c r="I3" s="44"/>
      <c r="J3" s="44"/>
    </row>
    <row r="4" spans="1:10" ht="14.5">
      <c r="A4" t="s">
        <v>13</v>
      </c>
      <c r="B4" s="15">
        <v>1694838</v>
      </c>
      <c r="C4" s="16" t="s">
        <v>16</v>
      </c>
      <c r="E4" s="44"/>
      <c r="F4" s="44"/>
      <c r="G4" s="44"/>
      <c r="H4" s="44"/>
      <c r="I4" s="44"/>
      <c r="J4" s="44"/>
    </row>
    <row r="5" spans="1:10" ht="14.5">
      <c r="A5" t="s">
        <v>15</v>
      </c>
      <c r="B5" s="15">
        <v>2550000</v>
      </c>
      <c r="C5" s="16" t="s">
        <v>16</v>
      </c>
      <c r="E5" s="44"/>
      <c r="F5" s="44"/>
      <c r="G5" s="44"/>
      <c r="H5" s="44"/>
      <c r="I5" s="44"/>
      <c r="J5" s="44"/>
    </row>
    <row r="6" spans="1:10" ht="14.5">
      <c r="A6" s="18" t="s">
        <v>19</v>
      </c>
      <c r="B6" s="15">
        <v>1000000</v>
      </c>
      <c r="C6" s="16" t="s">
        <v>16</v>
      </c>
      <c r="E6" s="44"/>
      <c r="F6" s="44"/>
      <c r="G6" s="44"/>
      <c r="H6" s="44"/>
      <c r="I6" s="44"/>
      <c r="J6" s="44"/>
    </row>
    <row r="7" spans="1:10" ht="14.5">
      <c r="A7" s="18" t="s">
        <v>26</v>
      </c>
      <c r="B7" s="15">
        <v>4680911</v>
      </c>
      <c r="C7" s="16" t="s">
        <v>16</v>
      </c>
      <c r="E7" s="44"/>
      <c r="F7" s="44"/>
      <c r="G7" s="44"/>
      <c r="H7" s="44"/>
      <c r="I7" s="44"/>
      <c r="J7" s="44"/>
    </row>
    <row r="8" spans="1:10" ht="14.5">
      <c r="A8" s="18" t="s">
        <v>30</v>
      </c>
      <c r="B8" s="15">
        <v>517371</v>
      </c>
      <c r="C8" s="16" t="s">
        <v>16</v>
      </c>
      <c r="E8" s="44"/>
      <c r="F8" s="44"/>
      <c r="G8" s="44"/>
      <c r="H8" s="44"/>
      <c r="I8" s="44"/>
      <c r="J8" s="44"/>
    </row>
    <row r="9" spans="1:10" ht="14.5">
      <c r="A9" s="18" t="s">
        <v>27</v>
      </c>
      <c r="B9" s="15">
        <v>600000</v>
      </c>
      <c r="C9" s="13" t="s">
        <v>29</v>
      </c>
      <c r="E9" s="44"/>
      <c r="F9" s="44"/>
      <c r="G9" s="44"/>
      <c r="H9" s="44"/>
      <c r="I9" s="44"/>
      <c r="J9" s="44"/>
    </row>
    <row r="10" spans="1:10" ht="14.5">
      <c r="A10" s="18" t="s">
        <v>28</v>
      </c>
      <c r="B10" s="15">
        <v>1000000</v>
      </c>
      <c r="C10" s="13" t="s">
        <v>29</v>
      </c>
      <c r="E10" s="44"/>
      <c r="F10" s="44"/>
      <c r="G10" s="44"/>
      <c r="H10" s="44"/>
      <c r="I10" s="44"/>
      <c r="J10" s="44"/>
    </row>
    <row r="11" spans="1:10" ht="14.5">
      <c r="A11" s="18" t="s">
        <v>31</v>
      </c>
      <c r="B11" s="15">
        <v>400000</v>
      </c>
      <c r="C11" s="13" t="s">
        <v>29</v>
      </c>
      <c r="E11" s="44"/>
      <c r="F11" s="44"/>
      <c r="G11" s="44"/>
      <c r="H11" s="44"/>
      <c r="I11" s="44"/>
      <c r="J11" s="44"/>
    </row>
    <row r="12" spans="1:10" ht="14.5">
      <c r="A12" s="18" t="s">
        <v>32</v>
      </c>
      <c r="B12" s="17">
        <f>14747220*(0.1)</f>
        <v>1474722</v>
      </c>
      <c r="C12" s="13" t="s">
        <v>29</v>
      </c>
      <c r="E12" s="44"/>
      <c r="F12" s="44"/>
      <c r="G12" s="44"/>
      <c r="H12" s="44"/>
      <c r="I12" s="44"/>
      <c r="J12" s="44"/>
    </row>
    <row r="13" spans="1:10">
      <c r="A13" s="13" t="s">
        <v>18</v>
      </c>
      <c r="B13" s="17">
        <f>SUM(B3:B12)</f>
        <v>16221942</v>
      </c>
      <c r="E13" s="44"/>
      <c r="F13" s="44"/>
      <c r="G13" s="44"/>
      <c r="H13" s="44"/>
      <c r="I13" s="44"/>
      <c r="J13" s="44"/>
    </row>
    <row r="14" spans="1:10">
      <c r="A14" s="14" t="s">
        <v>20</v>
      </c>
      <c r="B14" s="14"/>
      <c r="C14" s="14"/>
      <c r="D14" s="14"/>
      <c r="E14" s="14"/>
      <c r="F14" s="14"/>
      <c r="G14" s="14"/>
      <c r="H14" s="14"/>
    </row>
    <row r="15" spans="1:10">
      <c r="A15" s="13" t="s">
        <v>14</v>
      </c>
      <c r="B15" s="13" t="s">
        <v>22</v>
      </c>
      <c r="C15" s="13" t="s">
        <v>17</v>
      </c>
    </row>
    <row r="16" spans="1:10" ht="14.5">
      <c r="A16" t="s">
        <v>34</v>
      </c>
      <c r="B16" s="15">
        <f>101900*12</f>
        <v>1222800</v>
      </c>
      <c r="C16" s="16" t="s">
        <v>16</v>
      </c>
    </row>
    <row r="17" spans="1:3" ht="14.5">
      <c r="A17" t="s">
        <v>21</v>
      </c>
      <c r="B17" s="15">
        <f>130000*12</f>
        <v>1560000</v>
      </c>
      <c r="C17" s="16" t="s">
        <v>16</v>
      </c>
    </row>
    <row r="18" spans="1:3">
      <c r="A18" s="13" t="s">
        <v>18</v>
      </c>
      <c r="B18" s="17">
        <f>SUM(B16:B17)</f>
        <v>2782800</v>
      </c>
    </row>
    <row r="20" spans="1:3">
      <c r="A20" s="13" t="s">
        <v>33</v>
      </c>
      <c r="B20" s="21">
        <f>+B18+B13</f>
        <v>19004742</v>
      </c>
    </row>
  </sheetData>
  <mergeCells count="3">
    <mergeCell ref="A1:H1"/>
    <mergeCell ref="A14:H14"/>
    <mergeCell ref="E3:J13"/>
  </mergeCells>
  <hyperlinks>
    <hyperlink ref="C3" r:id="rId1" xr:uid="{0A87E978-0FE4-4EF9-9170-20E8F21C4B92}"/>
    <hyperlink ref="C4" r:id="rId2" xr:uid="{770997DB-7FA2-4D49-B515-79D05A3A73E1}"/>
    <hyperlink ref="C5" r:id="rId3" xr:uid="{4622B8FA-4CE9-42F8-A43F-D4A751B74918}"/>
    <hyperlink ref="C6" r:id="rId4" xr:uid="{77A268D4-AC0E-43D9-BC81-955526F4B726}"/>
    <hyperlink ref="C16" r:id="rId5" xr:uid="{40F03382-6077-461E-AEC2-BD438BC2B77B}"/>
    <hyperlink ref="C17" r:id="rId6" xr:uid="{1265558D-22D4-4614-B79B-3F6944FE0002}"/>
    <hyperlink ref="C7" r:id="rId7" xr:uid="{D09AFBD2-5C67-451A-A92F-8ED642EA5C20}"/>
    <hyperlink ref="C8" r:id="rId8" xr:uid="{771981A2-A3CA-47AC-A856-60AD9C1A04F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BE3D0-2EE3-487E-BE75-B921D11E36A7}">
  <dimension ref="A1:J17"/>
  <sheetViews>
    <sheetView topLeftCell="C1" workbookViewId="0">
      <selection activeCell="G15" sqref="G15"/>
    </sheetView>
  </sheetViews>
  <sheetFormatPr baseColWidth="10" defaultRowHeight="14"/>
  <cols>
    <col min="1" max="1" width="64" style="13" customWidth="1"/>
    <col min="2" max="2" width="19" style="15" bestFit="1" customWidth="1"/>
    <col min="3" max="4" width="16.26953125" style="13" customWidth="1"/>
    <col min="5" max="5" width="14.453125" style="13" bestFit="1" customWidth="1"/>
    <col min="6" max="6" width="11.6328125" style="13" bestFit="1" customWidth="1"/>
    <col min="7" max="16384" width="10.90625" style="13"/>
  </cols>
  <sheetData>
    <row r="1" spans="1:10">
      <c r="A1" s="37" t="s">
        <v>36</v>
      </c>
      <c r="B1" s="37"/>
      <c r="C1" s="37"/>
      <c r="D1" s="37"/>
      <c r="E1" s="37"/>
      <c r="F1" s="37"/>
      <c r="G1" s="37"/>
      <c r="H1" s="37"/>
      <c r="I1" s="37"/>
      <c r="J1" s="37"/>
    </row>
    <row r="2" spans="1:10">
      <c r="A2" s="39" t="s">
        <v>14</v>
      </c>
      <c r="B2" s="43" t="s">
        <v>44</v>
      </c>
      <c r="C2" s="39" t="s">
        <v>40</v>
      </c>
      <c r="D2" s="39" t="s">
        <v>41</v>
      </c>
      <c r="E2" s="39" t="s">
        <v>17</v>
      </c>
      <c r="F2" s="39" t="s">
        <v>58</v>
      </c>
    </row>
    <row r="3" spans="1:10" ht="14.5" customHeight="1">
      <c r="A3" s="13" t="s">
        <v>37</v>
      </c>
      <c r="B3" s="15">
        <v>689150</v>
      </c>
      <c r="C3" s="22">
        <v>40</v>
      </c>
      <c r="D3" s="15">
        <f>+C3*B3</f>
        <v>27566000</v>
      </c>
      <c r="E3" s="24" t="s">
        <v>16</v>
      </c>
      <c r="F3" s="44" t="s">
        <v>59</v>
      </c>
      <c r="G3" s="44"/>
      <c r="H3" s="44"/>
      <c r="I3" s="44"/>
      <c r="J3" s="44"/>
    </row>
    <row r="4" spans="1:10">
      <c r="A4" s="13" t="s">
        <v>38</v>
      </c>
      <c r="B4" s="15">
        <v>130000</v>
      </c>
      <c r="C4" s="22">
        <v>0</v>
      </c>
      <c r="D4" s="15">
        <f>B4</f>
        <v>130000</v>
      </c>
      <c r="E4" s="24" t="s">
        <v>16</v>
      </c>
      <c r="F4" s="44"/>
      <c r="G4" s="44"/>
      <c r="H4" s="44"/>
      <c r="I4" s="44"/>
      <c r="J4" s="44"/>
    </row>
    <row r="5" spans="1:10">
      <c r="A5" s="13" t="s">
        <v>39</v>
      </c>
      <c r="B5" s="15">
        <f>50000</f>
        <v>50000</v>
      </c>
      <c r="C5" s="22">
        <v>10</v>
      </c>
      <c r="D5" s="15">
        <f>C5*(B5)</f>
        <v>500000</v>
      </c>
      <c r="E5" s="13" t="s">
        <v>29</v>
      </c>
      <c r="F5" s="44"/>
      <c r="G5" s="44"/>
      <c r="H5" s="44"/>
      <c r="I5" s="44"/>
      <c r="J5" s="44"/>
    </row>
    <row r="6" spans="1:10">
      <c r="A6" s="25" t="s">
        <v>42</v>
      </c>
      <c r="B6" s="15">
        <f>1400000*2</f>
        <v>2800000</v>
      </c>
      <c r="C6" s="22">
        <v>0</v>
      </c>
      <c r="D6" s="15">
        <f>B6</f>
        <v>2800000</v>
      </c>
      <c r="E6" s="24"/>
      <c r="F6" s="44"/>
      <c r="G6" s="44"/>
      <c r="H6" s="44"/>
      <c r="I6" s="44"/>
      <c r="J6" s="44"/>
    </row>
    <row r="7" spans="1:10">
      <c r="A7" s="25" t="s">
        <v>43</v>
      </c>
      <c r="B7" s="15">
        <f>B6*(50%)</f>
        <v>1400000</v>
      </c>
      <c r="C7" s="22">
        <v>0</v>
      </c>
      <c r="D7" s="15">
        <f>B7</f>
        <v>1400000</v>
      </c>
      <c r="E7" s="24"/>
      <c r="F7" s="44"/>
      <c r="G7" s="44"/>
      <c r="H7" s="44"/>
      <c r="I7" s="44"/>
      <c r="J7" s="44"/>
    </row>
    <row r="8" spans="1:10">
      <c r="A8" s="13" t="s">
        <v>45</v>
      </c>
      <c r="B8" s="15">
        <f>2000000</f>
        <v>2000000</v>
      </c>
      <c r="C8" s="23">
        <v>0</v>
      </c>
      <c r="D8" s="17">
        <f>B8</f>
        <v>2000000</v>
      </c>
      <c r="E8" s="13" t="s">
        <v>29</v>
      </c>
      <c r="F8" s="44"/>
      <c r="G8" s="44"/>
      <c r="H8" s="44"/>
      <c r="I8" s="44"/>
      <c r="J8" s="44"/>
    </row>
    <row r="9" spans="1:10" ht="14.5">
      <c r="A9" s="13" t="s">
        <v>46</v>
      </c>
      <c r="B9" s="15">
        <v>8519121</v>
      </c>
      <c r="C9" s="13">
        <v>0</v>
      </c>
      <c r="D9" s="17">
        <f>B9</f>
        <v>8519121</v>
      </c>
      <c r="E9" s="26" t="s">
        <v>51</v>
      </c>
      <c r="F9" s="44"/>
      <c r="G9" s="44"/>
      <c r="H9" s="44"/>
      <c r="I9" s="44"/>
      <c r="J9" s="44"/>
    </row>
    <row r="10" spans="1:10" ht="14.5">
      <c r="A10" s="13" t="s">
        <v>47</v>
      </c>
      <c r="B10" s="15">
        <v>11900298</v>
      </c>
      <c r="C10" s="13">
        <v>0</v>
      </c>
      <c r="D10" s="17">
        <f>B10</f>
        <v>11900298</v>
      </c>
      <c r="E10" s="26" t="s">
        <v>16</v>
      </c>
      <c r="F10" s="44"/>
      <c r="G10" s="44"/>
      <c r="H10" s="44"/>
      <c r="I10" s="44"/>
      <c r="J10" s="44"/>
    </row>
    <row r="11" spans="1:10" ht="14.5">
      <c r="A11" s="13" t="s">
        <v>48</v>
      </c>
      <c r="B11" s="15">
        <v>549708.51</v>
      </c>
      <c r="C11" s="13">
        <v>0</v>
      </c>
      <c r="D11" s="17">
        <f>B11</f>
        <v>549708.51</v>
      </c>
      <c r="E11" s="26" t="s">
        <v>16</v>
      </c>
    </row>
    <row r="12" spans="1:10" ht="14.5">
      <c r="A12" t="s">
        <v>49</v>
      </c>
      <c r="B12" s="15">
        <v>11000000</v>
      </c>
      <c r="C12" s="13">
        <v>0</v>
      </c>
      <c r="D12" s="17">
        <f>B12</f>
        <v>11000000</v>
      </c>
      <c r="E12" s="13" t="s">
        <v>29</v>
      </c>
    </row>
    <row r="13" spans="1:10" ht="14.5">
      <c r="A13" t="s">
        <v>50</v>
      </c>
      <c r="B13" s="15">
        <v>7000000</v>
      </c>
      <c r="C13" s="13">
        <v>0</v>
      </c>
      <c r="D13" s="17">
        <f>B13</f>
        <v>7000000</v>
      </c>
    </row>
    <row r="14" spans="1:10">
      <c r="A14" s="13" t="s">
        <v>52</v>
      </c>
      <c r="D14" s="15">
        <f>SUM(D3:D13)*0.1-D6-D7-D8</f>
        <v>1136512.7509999992</v>
      </c>
    </row>
    <row r="15" spans="1:10">
      <c r="A15" s="13" t="s">
        <v>18</v>
      </c>
      <c r="D15" s="38">
        <f>SUM(D3:D14)</f>
        <v>74501640.260999992</v>
      </c>
    </row>
    <row r="17" spans="4:4">
      <c r="D17" s="17"/>
    </row>
  </sheetData>
  <mergeCells count="2">
    <mergeCell ref="A1:J1"/>
    <mergeCell ref="F3:J10"/>
  </mergeCells>
  <hyperlinks>
    <hyperlink ref="E3" r:id="rId1" xr:uid="{65550606-F729-4F13-9602-D3ECAD6952F6}"/>
    <hyperlink ref="E4" r:id="rId2" xr:uid="{B43C6FB4-57F8-4A47-837D-D63DE423EAC6}"/>
    <hyperlink ref="E9" r:id="rId3" xr:uid="{CEA91ED7-772E-4BA5-9D6C-B7D232089C01}"/>
    <hyperlink ref="E10" r:id="rId4" xr:uid="{1FC43B2E-1877-43A2-A6C4-AF670A014AEB}"/>
    <hyperlink ref="E11" r:id="rId5" xr:uid="{950B3C00-2CEF-4972-8A30-0CF68471C907}"/>
  </hyperlinks>
  <pageMargins left="0.7" right="0.7" top="0.75" bottom="0.75" header="0.3" footer="0.3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9E7FC-0DD7-482F-81A4-78E9F6EB7372}">
  <dimension ref="A1:H16"/>
  <sheetViews>
    <sheetView workbookViewId="0">
      <selection activeCell="A2" sqref="A2:H16"/>
    </sheetView>
  </sheetViews>
  <sheetFormatPr baseColWidth="10" defaultRowHeight="14"/>
  <cols>
    <col min="1" max="16384" width="10.90625" style="13"/>
  </cols>
  <sheetData>
    <row r="1" spans="1:8">
      <c r="A1" s="40" t="s">
        <v>56</v>
      </c>
      <c r="B1" s="41"/>
      <c r="C1" s="41"/>
      <c r="D1" s="41"/>
      <c r="E1" s="41"/>
      <c r="F1" s="41"/>
      <c r="G1" s="41"/>
      <c r="H1" s="42"/>
    </row>
    <row r="2" spans="1:8">
      <c r="A2" s="28" t="s">
        <v>57</v>
      </c>
      <c r="B2" s="29"/>
      <c r="C2" s="29"/>
      <c r="D2" s="29"/>
      <c r="E2" s="29"/>
      <c r="F2" s="29"/>
      <c r="G2" s="29"/>
      <c r="H2" s="30"/>
    </row>
    <row r="3" spans="1:8">
      <c r="A3" s="31"/>
      <c r="B3" s="32"/>
      <c r="C3" s="32"/>
      <c r="D3" s="32"/>
      <c r="E3" s="32"/>
      <c r="F3" s="32"/>
      <c r="G3" s="32"/>
      <c r="H3" s="33"/>
    </row>
    <row r="4" spans="1:8">
      <c r="A4" s="31"/>
      <c r="B4" s="32"/>
      <c r="C4" s="32"/>
      <c r="D4" s="32"/>
      <c r="E4" s="32"/>
      <c r="F4" s="32"/>
      <c r="G4" s="32"/>
      <c r="H4" s="33"/>
    </row>
    <row r="5" spans="1:8">
      <c r="A5" s="31"/>
      <c r="B5" s="32"/>
      <c r="C5" s="32"/>
      <c r="D5" s="32"/>
      <c r="E5" s="32"/>
      <c r="F5" s="32"/>
      <c r="G5" s="32"/>
      <c r="H5" s="33"/>
    </row>
    <row r="6" spans="1:8">
      <c r="A6" s="31"/>
      <c r="B6" s="32"/>
      <c r="C6" s="32"/>
      <c r="D6" s="32"/>
      <c r="E6" s="32"/>
      <c r="F6" s="32"/>
      <c r="G6" s="32"/>
      <c r="H6" s="33"/>
    </row>
    <row r="7" spans="1:8">
      <c r="A7" s="31"/>
      <c r="B7" s="32"/>
      <c r="C7" s="32"/>
      <c r="D7" s="32"/>
      <c r="E7" s="32"/>
      <c r="F7" s="32"/>
      <c r="G7" s="32"/>
      <c r="H7" s="33"/>
    </row>
    <row r="8" spans="1:8">
      <c r="A8" s="31"/>
      <c r="B8" s="32"/>
      <c r="C8" s="32"/>
      <c r="D8" s="32"/>
      <c r="E8" s="32"/>
      <c r="F8" s="32"/>
      <c r="G8" s="32"/>
      <c r="H8" s="33"/>
    </row>
    <row r="9" spans="1:8">
      <c r="A9" s="31"/>
      <c r="B9" s="32"/>
      <c r="C9" s="32"/>
      <c r="D9" s="32"/>
      <c r="E9" s="32"/>
      <c r="F9" s="32"/>
      <c r="G9" s="32"/>
      <c r="H9" s="33"/>
    </row>
    <row r="10" spans="1:8">
      <c r="A10" s="31"/>
      <c r="B10" s="32"/>
      <c r="C10" s="32"/>
      <c r="D10" s="32"/>
      <c r="E10" s="32"/>
      <c r="F10" s="32"/>
      <c r="G10" s="32"/>
      <c r="H10" s="33"/>
    </row>
    <row r="11" spans="1:8">
      <c r="A11" s="31"/>
      <c r="B11" s="32"/>
      <c r="C11" s="32"/>
      <c r="D11" s="32"/>
      <c r="E11" s="32"/>
      <c r="F11" s="32"/>
      <c r="G11" s="32"/>
      <c r="H11" s="33"/>
    </row>
    <row r="12" spans="1:8">
      <c r="A12" s="31"/>
      <c r="B12" s="32"/>
      <c r="C12" s="32"/>
      <c r="D12" s="32"/>
      <c r="E12" s="32"/>
      <c r="F12" s="32"/>
      <c r="G12" s="32"/>
      <c r="H12" s="33"/>
    </row>
    <row r="13" spans="1:8">
      <c r="A13" s="31"/>
      <c r="B13" s="32"/>
      <c r="C13" s="32"/>
      <c r="D13" s="32"/>
      <c r="E13" s="32"/>
      <c r="F13" s="32"/>
      <c r="G13" s="32"/>
      <c r="H13" s="33"/>
    </row>
    <row r="14" spans="1:8">
      <c r="A14" s="31"/>
      <c r="B14" s="32"/>
      <c r="C14" s="32"/>
      <c r="D14" s="32"/>
      <c r="E14" s="32"/>
      <c r="F14" s="32"/>
      <c r="G14" s="32"/>
      <c r="H14" s="33"/>
    </row>
    <row r="15" spans="1:8">
      <c r="A15" s="31"/>
      <c r="B15" s="32"/>
      <c r="C15" s="32"/>
      <c r="D15" s="32"/>
      <c r="E15" s="32"/>
      <c r="F15" s="32"/>
      <c r="G15" s="32"/>
      <c r="H15" s="33"/>
    </row>
    <row r="16" spans="1:8">
      <c r="A16" s="34"/>
      <c r="B16" s="35"/>
      <c r="C16" s="35"/>
      <c r="D16" s="35"/>
      <c r="E16" s="35"/>
      <c r="F16" s="35"/>
      <c r="G16" s="35"/>
      <c r="H16" s="36"/>
    </row>
  </sheetData>
  <mergeCells count="2">
    <mergeCell ref="A2:H16"/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6C623017F0844C9CA8C520F87E1C98" ma:contentTypeVersion="14" ma:contentTypeDescription="Create a new document." ma:contentTypeScope="" ma:versionID="2cc5919c8cf99609ab413d0e9c49e56d">
  <xsd:schema xmlns:xsd="http://www.w3.org/2001/XMLSchema" xmlns:xs="http://www.w3.org/2001/XMLSchema" xmlns:p="http://schemas.microsoft.com/office/2006/metadata/properties" xmlns:ns3="151239cd-d6c2-460d-be53-daac395fd3b3" xmlns:ns4="7a285e6b-bf7c-488e-b5f9-fd183323cec4" targetNamespace="http://schemas.microsoft.com/office/2006/metadata/properties" ma:root="true" ma:fieldsID="59badaf9389c80bdc98e7a0f8b90235f" ns3:_="" ns4:_="">
    <xsd:import namespace="151239cd-d6c2-460d-be53-daac395fd3b3"/>
    <xsd:import namespace="7a285e6b-bf7c-488e-b5f9-fd183323cec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239cd-d6c2-460d-be53-daac395fd3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85e6b-bf7c-488e-b5f9-fd183323cec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51239cd-d6c2-460d-be53-daac395fd3b3" xsi:nil="true"/>
  </documentManagement>
</p:properties>
</file>

<file path=customXml/itemProps1.xml><?xml version="1.0" encoding="utf-8"?>
<ds:datastoreItem xmlns:ds="http://schemas.openxmlformats.org/officeDocument/2006/customXml" ds:itemID="{89BEA935-0C56-4AAC-AB6A-8252D289A4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1239cd-d6c2-460d-be53-daac395fd3b3"/>
    <ds:schemaRef ds:uri="7a285e6b-bf7c-488e-b5f9-fd183323ce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4E06E6-B61E-4707-8460-B506569EBF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E0DDDC-AFC3-4E1C-99DD-CBBEC83138C6}">
  <ds:schemaRefs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151239cd-d6c2-460d-be53-daac395fd3b3"/>
    <ds:schemaRef ds:uri="http://schemas.openxmlformats.org/package/2006/metadata/core-properties"/>
    <ds:schemaRef ds:uri="7a285e6b-bf7c-488e-b5f9-fd183323cec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Proyecto</vt:lpstr>
      <vt:lpstr>Fase 1</vt:lpstr>
      <vt:lpstr>Fase 2</vt:lpstr>
      <vt:lpstr>Fase intermedia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Diego Moreno Sánchez</dc:creator>
  <cp:lastModifiedBy>Juan Diego Moreno Sánchez</cp:lastModifiedBy>
  <dcterms:created xsi:type="dcterms:W3CDTF">2025-11-02T11:39:26Z</dcterms:created>
  <dcterms:modified xsi:type="dcterms:W3CDTF">2025-11-02T16:46:14Z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0x010100BD6C623017F0844C9CA8C520F87E1C98</vt:lpwstr>
  </property>
</Properties>
</file>